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C:\Users\Fatim\Desktop\Queens\2023-2024\2023Fall\COMM 394\"/>
    </mc:Choice>
  </mc:AlternateContent>
  <xr:revisionPtr revIDLastSave="0" documentId="13_ncr:1_{665E739A-340B-4F32-B4D9-BE933F69F204}" xr6:coauthVersionLast="47" xr6:coauthVersionMax="47" xr10:uidLastSave="{00000000-0000-0000-0000-000000000000}"/>
  <bookViews>
    <workbookView xWindow="-108" yWindow="-108" windowWidth="23256" windowHeight="12456" activeTab="1" xr2:uid="{89174803-3546-47B6-9E3E-5EA53F7EFD56}"/>
  </bookViews>
  <sheets>
    <sheet name="Stock Sheet" sheetId="1" r:id="rId1"/>
    <sheet name="Portfolio Sheet" sheetId="2" r:id="rId2"/>
    <sheet name="Admin Sheet" sheetId="3" r:id="rId3"/>
    <sheet name="Appendix" sheetId="4" r:id="rId4"/>
  </sheet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1" l="1" a="1"/>
  <c r="D11" i="1"/>
  <c r="F11" i="1"/>
  <c r="H11" i="1"/>
  <c r="G11" i="1"/>
  <c r="B14" i="1" a="1"/>
  <c r="B14" i="1"/>
  <c r="C14" i="1" a="1"/>
  <c r="C14" i="1"/>
  <c r="D14" i="1" a="1"/>
  <c r="D14" i="1"/>
  <c r="F14" i="1"/>
  <c r="G14" i="1"/>
  <c r="H14" i="1"/>
  <c r="E10" i="2"/>
  <c r="E11" i="2"/>
  <c r="A1" i="4"/>
  <c r="D6" i="2"/>
  <c r="D12" i="1" a="1"/>
  <c r="D12" i="1"/>
  <c r="G12" i="1"/>
  <c r="C11" i="1" a="1"/>
  <c r="C11" i="1"/>
  <c r="B11" i="1" a="1"/>
  <c r="B11" i="1"/>
  <c r="D13" i="1" a="1"/>
  <c r="D13" i="1"/>
  <c r="G13" i="1"/>
  <c r="F12" i="1"/>
  <c r="H12" i="1"/>
  <c r="F13" i="1"/>
  <c r="H13" i="1"/>
  <c r="B12" i="1" a="1"/>
  <c r="B13" i="1" a="1"/>
  <c r="B12" i="1"/>
  <c r="B13" i="1"/>
  <c r="C13" i="1" a="1"/>
  <c r="C13" i="1"/>
  <c r="C12" i="1" a="1"/>
  <c r="C12" i="1"/>
  <c r="A1" i="1"/>
  <c r="A1" i="2"/>
  <c r="A1" i="3"/>
  <c r="D4" i="2"/>
  <c r="G9" i="2"/>
  <c r="D5" i="2"/>
  <c r="G10" i="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5"/>
        </ext>
      </extLst>
    </bk>
    <bk>
      <extLst>
        <ext uri="{3e2802c4-a4d2-4d8b-9148-e3be6c30e623}">
          <xlrd:rvb i="12"/>
        </ext>
      </extLst>
    </bk>
    <bk>
      <extLst>
        <ext uri="{3e2802c4-a4d2-4d8b-9148-e3be6c30e623}">
          <xlrd:rvb i="15"/>
        </ext>
      </extLst>
    </bk>
  </futureMetadata>
  <cellMetadata count="1">
    <bk>
      <rc t="1" v="0"/>
    </bk>
  </cellMetadata>
  <valueMetadata count="4">
    <bk>
      <rc t="2" v="0"/>
    </bk>
    <bk>
      <rc t="2" v="1"/>
    </bk>
    <bk>
      <rc t="2" v="2"/>
    </bk>
    <bk>
      <rc t="2" v="3"/>
    </bk>
  </valueMetadata>
</metadata>
</file>

<file path=xl/sharedStrings.xml><?xml version="1.0" encoding="utf-8"?>
<sst xmlns="http://schemas.openxmlformats.org/spreadsheetml/2006/main" count="91" uniqueCount="44">
  <si>
    <t>Beta</t>
  </si>
  <si>
    <t>ABC Company</t>
  </si>
  <si>
    <t>Description</t>
  </si>
  <si>
    <t>Price</t>
  </si>
  <si>
    <t>Beta Coefficient</t>
  </si>
  <si>
    <t>ESG Risk Rating</t>
  </si>
  <si>
    <t>Risk Free Rate</t>
  </si>
  <si>
    <t>Market Return</t>
  </si>
  <si>
    <t>https://finance.yahoo.com/</t>
  </si>
  <si>
    <t>Adjusted Beta</t>
  </si>
  <si>
    <t>Category</t>
  </si>
  <si>
    <t>Impact</t>
  </si>
  <si>
    <t>Negilable</t>
  </si>
  <si>
    <t>Low</t>
  </si>
  <si>
    <t>Meduim</t>
  </si>
  <si>
    <t>High</t>
  </si>
  <si>
    <t>Severe</t>
  </si>
  <si>
    <t>Ticker symbol</t>
  </si>
  <si>
    <t>Expected Return</t>
  </si>
  <si>
    <t>Adjusted Expected Return</t>
  </si>
  <si>
    <t>https://home.treasury.gov/resource-center/data-chart-center/interest-rates/TextView?type=daily_treasury_yield_curve&amp;field_tdr_date_value_month=202312</t>
  </si>
  <si>
    <t>https://www.spglobal.com/spdji/en/indices/equity/sp-500/#overview</t>
  </si>
  <si>
    <t>How to obtain necessary values</t>
  </si>
  <si>
    <t>ESG Rating</t>
  </si>
  <si>
    <t>Stock</t>
  </si>
  <si>
    <t>Excpected return</t>
  </si>
  <si>
    <t>Number of shares</t>
  </si>
  <si>
    <t>Weight</t>
  </si>
  <si>
    <t>TSLA</t>
  </si>
  <si>
    <t>WMT</t>
  </si>
  <si>
    <t>Formulas</t>
  </si>
  <si>
    <t>=[@[Number of shares]]/SUM([Number of shares])</t>
  </si>
  <si>
    <t>Value</t>
  </si>
  <si>
    <t>Enter Description here</t>
  </si>
  <si>
    <t>Enter Company Name:</t>
  </si>
  <si>
    <t>https://support.microsoft.com/en-us/office/get-a-stock-quote-e5af3212-e024-4d4c-bea0-623cf07fbc54#:~:text=To%20create%20a%20table%2C%20go,tab%2C%20and%20then%20click%20Stocks.&amp;text=Select%20one%20or%20more%20cells,name%20to%20extract%20more%20information.</t>
  </si>
  <si>
    <t>Risk-Free Rate</t>
  </si>
  <si>
    <t>Company Name</t>
  </si>
  <si>
    <t>Expected Return of Portfolio</t>
  </si>
  <si>
    <t>Adjusted Expected Return of Portfolio</t>
  </si>
  <si>
    <t>=[@Beta] * (1 + IFERROR(VLOOKUP([@[ESG Risk Rating]], Table68[[ESG Rating]:[Impact]], 2, FALSE), 0.2))</t>
  </si>
  <si>
    <t>=$B$4+([@Beta]*($B$5-$B$4))</t>
  </si>
  <si>
    <t>=$B$4+([@[Adjusted Beta]]*($B$5-$B$4))</t>
  </si>
  <si>
    <t>Item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</si>
</sst>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409]* #,##0.00_);_([$$-409]* \(#,##0.00\);_([$$-409]* &quot;-&quot;??_);_(@_)"/>
  </numFmts>
  <fonts count="6" x14ac:knownFonts="1">
    <font>
      <sz val="11"/>
      <color theme="1"/>
      <name val="Calibri"/>
      <family val="2"/>
      <scheme val="minor"/>
    </font>
    <font>
      <b/>
      <sz val="11"/>
      <color theme="1"/>
      <name val="Calibri"/>
      <family val="2"/>
      <scheme val="minor"/>
    </font>
    <font>
      <u/>
      <sz val="11"/>
      <color theme="10"/>
      <name val="Calibri"/>
      <family val="2"/>
      <scheme val="minor"/>
    </font>
    <font>
      <sz val="8"/>
      <name val="Calibri"/>
      <family val="2"/>
      <scheme val="minor"/>
    </font>
    <font>
      <b/>
      <sz val="18"/>
      <color rgb="FF000000"/>
      <name val="Calibri"/>
      <family val="2"/>
    </font>
    <font>
      <b/>
      <sz val="22"/>
      <color theme="1"/>
      <name val="Calibri"/>
      <family val="2"/>
      <scheme val="minor"/>
    </font>
  </fonts>
  <fills count="8">
    <fill>
      <patternFill patternType="none"/>
    </fill>
    <fill>
      <patternFill patternType="gray125"/>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2" tint="-9.9978637043366805E-2"/>
        <bgColor indexed="64"/>
      </patternFill>
    </fill>
    <fill>
      <patternFill patternType="solid">
        <fgColor theme="5" tint="0.59999389629810485"/>
        <bgColor indexed="64"/>
      </patternFill>
    </fill>
  </fills>
  <borders count="7">
    <border>
      <left/>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2" fillId="0" borderId="0" applyNumberFormat="0" applyFill="0" applyBorder="0" applyAlignment="0" applyProtection="0"/>
  </cellStyleXfs>
  <cellXfs count="37">
    <xf numFmtId="0" fontId="0" fillId="0" borderId="0" xfId="0"/>
    <xf numFmtId="0" fontId="1" fillId="5" borderId="1" xfId="0" applyFont="1" applyFill="1" applyBorder="1"/>
    <xf numFmtId="10" fontId="0" fillId="4" borderId="4" xfId="0" applyNumberFormat="1" applyFill="1" applyBorder="1" applyAlignment="1">
      <alignment horizontal="center"/>
    </xf>
    <xf numFmtId="10" fontId="0" fillId="4" borderId="6" xfId="0" applyNumberFormat="1" applyFill="1" applyBorder="1" applyAlignment="1">
      <alignment horizontal="center"/>
    </xf>
    <xf numFmtId="0" fontId="0" fillId="5" borderId="0" xfId="0" applyFill="1"/>
    <xf numFmtId="164" fontId="0" fillId="5" borderId="0" xfId="0" applyNumberFormat="1" applyFill="1"/>
    <xf numFmtId="4" fontId="0" fillId="5" borderId="0" xfId="0" applyNumberFormat="1" applyFill="1"/>
    <xf numFmtId="10" fontId="0" fillId="5" borderId="0" xfId="0" applyNumberFormat="1" applyFill="1"/>
    <xf numFmtId="0" fontId="0" fillId="5" borderId="0" xfId="0" applyFill="1" applyAlignment="1">
      <alignment horizontal="center"/>
    </xf>
    <xf numFmtId="0" fontId="1" fillId="5" borderId="3" xfId="0" applyFont="1" applyFill="1" applyBorder="1"/>
    <xf numFmtId="10" fontId="0" fillId="5" borderId="0" xfId="0" applyNumberFormat="1" applyFill="1" applyAlignment="1">
      <alignment horizontal="center"/>
    </xf>
    <xf numFmtId="0" fontId="1" fillId="6" borderId="0" xfId="0" applyFont="1" applyFill="1" applyAlignment="1">
      <alignment horizontal="center"/>
    </xf>
    <xf numFmtId="0" fontId="0" fillId="6" borderId="0" xfId="0" applyFill="1" applyAlignment="1">
      <alignment horizontal="center"/>
    </xf>
    <xf numFmtId="0" fontId="1" fillId="5" borderId="0" xfId="0" applyFont="1" applyFill="1"/>
    <xf numFmtId="10" fontId="0" fillId="7" borderId="4" xfId="0" applyNumberFormat="1" applyFill="1" applyBorder="1" applyAlignment="1">
      <alignment horizontal="center"/>
    </xf>
    <xf numFmtId="10" fontId="0" fillId="7" borderId="5" xfId="0" applyNumberFormat="1" applyFill="1" applyBorder="1" applyAlignment="1">
      <alignment horizontal="center"/>
    </xf>
    <xf numFmtId="0" fontId="1" fillId="5" borderId="2" xfId="0" applyFont="1" applyFill="1" applyBorder="1"/>
    <xf numFmtId="10" fontId="0" fillId="7" borderId="6" xfId="0" applyNumberFormat="1" applyFill="1" applyBorder="1" applyAlignment="1">
      <alignment horizontal="center"/>
    </xf>
    <xf numFmtId="9" fontId="0" fillId="5" borderId="0" xfId="0" applyNumberFormat="1" applyFill="1"/>
    <xf numFmtId="9" fontId="0" fillId="5" borderId="0" xfId="0" applyNumberFormat="1" applyFill="1" applyAlignment="1">
      <alignment horizontal="center"/>
    </xf>
    <xf numFmtId="0" fontId="1" fillId="6" borderId="0" xfId="0" applyFont="1" applyFill="1" applyAlignment="1">
      <alignment horizontal="center" wrapText="1"/>
    </xf>
    <xf numFmtId="0" fontId="2" fillId="5" borderId="0" xfId="1" applyFill="1" applyBorder="1" applyAlignment="1">
      <alignment horizontal="left" wrapText="1"/>
    </xf>
    <xf numFmtId="0" fontId="1" fillId="5" borderId="0" xfId="0" applyFont="1" applyFill="1" applyAlignment="1">
      <alignment horizontal="center" vertical="center"/>
    </xf>
    <xf numFmtId="0" fontId="0" fillId="5" borderId="0" xfId="0" applyFill="1" applyAlignment="1">
      <alignment horizontal="center" vertical="center" wrapText="1"/>
    </xf>
    <xf numFmtId="0" fontId="0" fillId="2" borderId="0" xfId="0" applyFill="1" applyAlignment="1">
      <alignment horizontal="center"/>
    </xf>
    <xf numFmtId="0" fontId="1" fillId="2" borderId="0" xfId="0" applyFont="1" applyFill="1"/>
    <xf numFmtId="0" fontId="5" fillId="3" borderId="0" xfId="0" applyFont="1" applyFill="1" applyAlignment="1">
      <alignment horizontal="center"/>
    </xf>
    <xf numFmtId="0" fontId="1" fillId="6" borderId="0" xfId="0" applyFont="1" applyFill="1" applyAlignment="1">
      <alignment horizontal="center" vertical="center"/>
    </xf>
    <xf numFmtId="0" fontId="0" fillId="5" borderId="0" xfId="0" applyFill="1" applyAlignment="1">
      <alignment horizontal="center" vertical="center"/>
    </xf>
    <xf numFmtId="10" fontId="0" fillId="5" borderId="0" xfId="0" applyNumberFormat="1" applyFill="1" applyAlignment="1">
      <alignment horizontal="center" vertical="center"/>
    </xf>
    <xf numFmtId="0" fontId="0" fillId="6" borderId="0" xfId="0" applyFill="1" applyAlignment="1">
      <alignment horizontal="center" vertical="center"/>
    </xf>
    <xf numFmtId="0" fontId="0" fillId="5" borderId="0" xfId="0" applyFill="1" applyAlignment="1">
      <alignment horizontal="left" vertical="center"/>
    </xf>
    <xf numFmtId="164" fontId="0" fillId="5" borderId="0" xfId="0" applyNumberFormat="1" applyFill="1" applyAlignment="1">
      <alignment horizontal="center" vertical="center"/>
    </xf>
    <xf numFmtId="4" fontId="0" fillId="5" borderId="0" xfId="0" applyNumberFormat="1" applyFill="1" applyAlignment="1">
      <alignment horizontal="center" vertical="center"/>
    </xf>
    <xf numFmtId="0" fontId="0" fillId="5" borderId="0" xfId="0" applyNumberFormat="1" applyFill="1" applyAlignment="1">
      <alignment horizontal="center" vertical="center"/>
    </xf>
    <xf numFmtId="0" fontId="1" fillId="5" borderId="0" xfId="0" applyFont="1" applyFill="1" applyAlignment="1">
      <alignment wrapText="1"/>
    </xf>
    <xf numFmtId="0" fontId="0" fillId="5" borderId="0" xfId="0" quotePrefix="1" applyFill="1" applyAlignment="1">
      <alignment horizontal="center" vertical="center" wrapText="1"/>
    </xf>
  </cellXfs>
  <cellStyles count="2">
    <cellStyle name="Hyperlink" xfId="1" builtinId="8"/>
    <cellStyle name="Normal" xfId="0" builtinId="0"/>
  </cellStyles>
  <dxfs count="51">
    <dxf>
      <alignment horizontal="center" vertical="center" textRotation="0" indent="0" justifyLastLine="0" shrinkToFit="0" readingOrder="0"/>
    </dxf>
    <dxf>
      <fill>
        <patternFill patternType="solid">
          <fgColor indexed="64"/>
          <bgColor theme="2" tint="-9.9978637043366805E-2"/>
        </patternFill>
      </fill>
      <alignment horizontal="center" vertical="center" textRotation="0" indent="0" justifyLastLine="0" shrinkToFit="0" readingOrder="0"/>
    </dxf>
    <dxf>
      <fill>
        <patternFill patternType="solid">
          <fgColor indexed="64"/>
          <bgColor theme="0"/>
        </patternFill>
      </fill>
      <alignment horizontal="center" vertical="center" textRotation="0" wrapText="1" indent="0" justifyLastLine="0" shrinkToFit="0" readingOrder="0"/>
    </dxf>
    <dxf>
      <fill>
        <patternFill patternType="solid">
          <fgColor indexed="64"/>
          <bgColor theme="0"/>
        </patternFill>
      </fill>
      <alignment horizontal="center" vertical="center" textRotation="0" indent="0" justifyLastLine="0" shrinkToFit="0" readingOrder="0"/>
    </dxf>
    <dxf>
      <fill>
        <patternFill>
          <bgColor rgb="FFFF0000"/>
        </patternFill>
      </fill>
    </dxf>
    <dxf>
      <fill>
        <patternFill>
          <bgColor rgb="FF00B050"/>
        </patternFill>
      </fill>
    </dxf>
    <dxf>
      <fill>
        <patternFill>
          <bgColor rgb="FFFF0000"/>
        </patternFill>
      </fill>
    </dxf>
    <dxf>
      <fill>
        <patternFill>
          <bgColor theme="9" tint="0.59996337778862885"/>
        </patternFill>
      </fill>
    </dxf>
    <dxf>
      <fill>
        <patternFill>
          <bgColor rgb="FF00B050"/>
        </patternFill>
      </fill>
    </dxf>
    <dxf>
      <fill>
        <patternFill>
          <bgColor rgb="FFFF0000"/>
        </patternFill>
      </fill>
    </dxf>
    <dxf>
      <fill>
        <patternFill>
          <bgColor rgb="FF00B050"/>
        </patternFill>
      </fill>
    </dxf>
    <dxf>
      <fill>
        <patternFill>
          <bgColor rgb="FFFF0000"/>
        </patternFill>
      </fill>
    </dxf>
    <dxf>
      <fill>
        <patternFill>
          <bgColor theme="9" tint="0.59996337778862885"/>
        </patternFill>
      </fill>
    </dxf>
    <dxf>
      <fill>
        <patternFill>
          <bgColor rgb="FFFF0000"/>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fgColor indexed="64"/>
          <bgColor theme="0"/>
        </patternFill>
      </fill>
      <alignment horizontal="center" vertical="center" textRotation="0" wrapText="0" indent="0" justifyLastLine="0" shrinkToFit="0" readingOrder="0"/>
    </dxf>
    <dxf>
      <fill>
        <patternFill patternType="solid">
          <fgColor indexed="64"/>
          <bgColor theme="2" tint="-9.9978637043366805E-2"/>
        </patternFill>
      </fill>
      <alignment horizontal="center" vertical="center" textRotation="0" wrapText="0" indent="0" justifyLastLine="0" shrinkToFit="0" readingOrder="0"/>
    </dxf>
    <dxf>
      <numFmt numFmtId="14" formatCode="0.00%"/>
      <fill>
        <patternFill>
          <fgColor indexed="64"/>
          <bgColor theme="0"/>
        </patternFill>
      </fill>
      <alignment horizontal="center" vertical="center" textRotation="0" wrapText="0" indent="0" justifyLastLine="0" shrinkToFit="0" readingOrder="0"/>
    </dxf>
    <dxf>
      <numFmt numFmtId="14" formatCode="0.00%"/>
      <fill>
        <patternFill>
          <fgColor indexed="64"/>
          <bgColor theme="0"/>
        </patternFill>
      </fill>
      <alignment horizontal="center" vertical="center" textRotation="0" wrapText="0" indent="0" justifyLastLine="0" shrinkToFit="0" readingOrder="0"/>
    </dxf>
    <dxf>
      <numFmt numFmtId="0" formatCode="General"/>
      <fill>
        <patternFill>
          <fgColor indexed="64"/>
          <bgColor theme="0"/>
        </patternFill>
      </fill>
      <alignment horizontal="center" vertical="center" textRotation="0" wrapText="0" indent="0" justifyLastLine="0" shrinkToFit="0" readingOrder="0"/>
    </dxf>
    <dxf>
      <fill>
        <patternFill>
          <fgColor indexed="64"/>
          <bgColor theme="0"/>
        </patternFill>
      </fill>
      <alignment horizontal="center" vertical="center" textRotation="0" wrapText="0" indent="0" justifyLastLine="0" shrinkToFit="0" readingOrder="0"/>
    </dxf>
    <dxf>
      <numFmt numFmtId="4" formatCode="#,##0.00"/>
      <fill>
        <patternFill>
          <fgColor indexed="64"/>
          <bgColor theme="0"/>
        </patternFill>
      </fill>
      <alignment horizontal="center" vertical="center" textRotation="0" wrapText="0" indent="0" justifyLastLine="0" shrinkToFit="0" readingOrder="0"/>
    </dxf>
    <dxf>
      <numFmt numFmtId="164" formatCode="_([$$-409]* #,##0.00_);_([$$-409]* \(#,##0.00\);_([$$-409]* &quot;-&quot;??_);_(@_)"/>
      <fill>
        <patternFill>
          <fgColor indexed="64"/>
          <bgColor theme="0"/>
        </patternFill>
      </fill>
      <alignment horizontal="center" vertical="center" textRotation="0" wrapText="0" indent="0" justifyLastLine="0" shrinkToFit="0" readingOrder="0"/>
    </dxf>
    <dxf>
      <fill>
        <patternFill>
          <fgColor indexed="64"/>
          <bgColor theme="0"/>
        </patternFill>
      </fill>
      <alignment horizontal="center" vertical="center" textRotation="0" wrapText="0" indent="0" justifyLastLine="0" shrinkToFit="0" readingOrder="0"/>
    </dxf>
    <dxf>
      <fill>
        <patternFill>
          <fgColor indexed="64"/>
          <bgColor theme="0"/>
        </patternFill>
      </fill>
      <alignment horizontal="left"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dxf>
    <dxf>
      <numFmt numFmtId="14" formatCode="0.00%"/>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solid">
          <fgColor indexed="64"/>
          <bgColor theme="0"/>
        </patternFill>
      </fill>
      <alignment horizontal="center" vertical="center" textRotation="0" wrapText="0" indent="0" justifyLastLine="0" shrinkToFit="0" readingOrder="0"/>
    </dxf>
    <dxf>
      <fill>
        <patternFill patternType="none">
          <fgColor indexed="64"/>
          <bgColor theme="0"/>
        </patternFill>
      </fill>
      <alignment horizontal="left" vertical="bottom" textRotation="0" wrapText="1" indent="0" justifyLastLine="0" shrinkToFit="0" readingOrder="0"/>
    </dxf>
    <dxf>
      <fill>
        <patternFill>
          <fgColor indexed="64"/>
          <bgColor theme="0"/>
        </patternFill>
      </fill>
      <alignment horizontal="center"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fill>
        <patternFill>
          <fgColor indexed="64"/>
          <bgColor theme="0"/>
        </patternFill>
      </fill>
      <alignment horizontal="center" vertical="center" textRotation="0" wrapText="0" indent="0" justifyLastLine="0" shrinkToFit="0" readingOrder="0"/>
    </dxf>
    <dxf>
      <fill>
        <patternFill>
          <fgColor indexed="64"/>
          <bgColor theme="0"/>
        </patternFill>
      </fill>
      <alignment horizontal="center" vertical="bottom" textRotation="0" indent="0" justifyLastLine="0" shrinkToFit="0" readingOrder="0"/>
    </dxf>
    <dxf>
      <fill>
        <patternFill patternType="solid">
          <fgColor indexed="64"/>
          <bgColor theme="2" tint="-9.9978637043366805E-2"/>
        </patternFill>
      </fill>
      <alignment horizontal="center" vertical="bottom" textRotation="0" indent="0" justifyLastLine="0" shrinkToFit="0" readingOrder="0"/>
    </dxf>
    <dxf>
      <fill>
        <patternFill patternType="none">
          <fgColor indexed="64"/>
          <bgColor theme="0"/>
        </patternFill>
      </fill>
      <alignment horizontal="center" vertical="bottom" textRotation="0" wrapText="0" indent="0" justifyLastLine="0" shrinkToFit="0" readingOrder="0"/>
    </dxf>
    <dxf>
      <numFmt numFmtId="13" formatCode="0%"/>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center" vertical="bottom" textRotation="0" wrapText="0" indent="0" justifyLastLine="0" shrinkToFit="0" readingOrder="0"/>
    </dxf>
    <dxf>
      <fill>
        <patternFill>
          <fgColor indexed="64"/>
          <bgColor theme="0"/>
        </patternFill>
      </fill>
      <alignment horizontal="center" vertical="bottom" textRotation="0" wrapText="0" indent="0" justifyLastLine="0" shrinkToFit="0" readingOrder="0"/>
    </dxf>
    <dxf>
      <fill>
        <patternFill patternType="solid">
          <fgColor indexed="64"/>
          <bgColor theme="2" tint="-9.9978637043366805E-2"/>
        </patternFill>
      </fill>
      <alignment horizontal="center" vertical="bottom" textRotation="0" wrapText="0" indent="0" justifyLastLine="0" shrinkToFit="0" readingOrder="0"/>
    </dxf>
    <dxf>
      <numFmt numFmtId="14" formatCode="0.00%"/>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fill>
        <patternFill patternType="solid">
          <fgColor indexed="64"/>
          <bgColor theme="0"/>
        </patternFill>
      </fill>
      <alignment horizontal="center" vertical="bottom" textRotation="0" wrapText="0" indent="0" justifyLastLine="0" shrinkToFit="0" readingOrder="0"/>
    </dxf>
    <dxf>
      <border outline="0">
        <left style="medium">
          <color indexed="64"/>
        </left>
        <right style="medium">
          <color indexed="64"/>
        </right>
        <top style="medium">
          <color indexed="64"/>
        </top>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13" Type="http://schemas.microsoft.com/office/2017/06/relationships/rdSupportingPropertyBag" Target="richData/rdsupportingpropertybag.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17/06/relationships/rdSupportingPropertyBagStructure" Target="richData/rdsupportingpropertybagstructure.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06/relationships/richStyles" Target="richData/richStyles.xml"/><Relationship Id="rId5" Type="http://schemas.openxmlformats.org/officeDocument/2006/relationships/theme" Target="theme/theme1.xml"/><Relationship Id="rId15" Type="http://schemas.openxmlformats.org/officeDocument/2006/relationships/calcChain" Target="calcChain.xml"/><Relationship Id="rId10" Type="http://schemas.microsoft.com/office/2017/06/relationships/rdRichValueStructure" Target="richData/rdrichvaluestructure.xml"/><Relationship Id="rId4" Type="http://schemas.openxmlformats.org/officeDocument/2006/relationships/worksheet" Target="worksheets/sheet4.xml"/><Relationship Id="rId9" Type="http://schemas.microsoft.com/office/2017/06/relationships/rdRichValue" Target="richData/rdrichvalue.xml"/><Relationship Id="rId14" Type="http://schemas.microsoft.com/office/2017/06/relationships/rdRichValueTypes" Target="richData/rdRichValueTyp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15240</xdr:colOff>
          <xdr:row>3</xdr:row>
          <xdr:rowOff>0</xdr:rowOff>
        </xdr:from>
        <xdr:to>
          <xdr:col>4</xdr:col>
          <xdr:colOff>571500</xdr:colOff>
          <xdr:row>7</xdr:row>
          <xdr:rowOff>167640</xdr:rowOff>
        </xdr:to>
        <xdr:sp macro="" textlink="">
          <xdr:nvSpPr>
            <xdr:cNvPr id="1025" name="Button 1" descr="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800" b="1" i="0" u="none" strike="noStrike" baseline="0">
                  <a:solidFill>
                    <a:srgbClr val="000000"/>
                  </a:solidFill>
                  <a:latin typeface="Calibri"/>
                  <a:ea typeface="Calibri"/>
                  <a:cs typeface="Calibri"/>
                </a:rPr>
                <a:t>Remove Stock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15240</xdr:colOff>
          <xdr:row>3</xdr:row>
          <xdr:rowOff>7620</xdr:rowOff>
        </xdr:from>
        <xdr:to>
          <xdr:col>6</xdr:col>
          <xdr:colOff>640080</xdr:colOff>
          <xdr:row>7</xdr:row>
          <xdr:rowOff>175260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800" b="1" i="0" u="none" strike="noStrike" baseline="0">
                  <a:solidFill>
                    <a:srgbClr val="000000"/>
                  </a:solidFill>
                  <a:latin typeface="Calibri"/>
                  <a:ea typeface="Calibri"/>
                  <a:cs typeface="Calibri"/>
                </a:rPr>
                <a:t>Add to Portfolio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525780</xdr:colOff>
          <xdr:row>1</xdr:row>
          <xdr:rowOff>175260</xdr:rowOff>
        </xdr:from>
        <xdr:to>
          <xdr:col>5</xdr:col>
          <xdr:colOff>2354580</xdr:colOff>
          <xdr:row>6</xdr:row>
          <xdr:rowOff>152400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CA" sz="1800" b="1" i="0" u="none" strike="noStrike" baseline="0">
                  <a:solidFill>
                    <a:srgbClr val="000000"/>
                  </a:solidFill>
                  <a:latin typeface="Calibri"/>
                  <a:ea typeface="Calibri"/>
                  <a:cs typeface="Calibri"/>
                </a:rPr>
                <a:t>Remove Stock</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16">
  <rv s="0">
    <v>https://www.bing.com/financeapi/forcetrigger?t=a25ya2&amp;q=XNYS%3aWMT&amp;form=skydnc</v>
    <v>Learn more on Bing</v>
  </rv>
  <rv s="1">
    <v>en-CA</v>
    <v>a25ya2</v>
    <v>268435456</v>
    <v>1</v>
    <v>Powered by Refinitiv</v>
    <v>0</v>
    <v>WALMART INC. (XNYS:WMT)</v>
    <v>2</v>
    <v>3</v>
    <v>Finance</v>
    <v>4</v>
    <v>169.94</v>
    <v>136.09</v>
    <v>0.4869</v>
    <v>-1.34</v>
    <v>0</v>
    <v>-8.6070000000000001E-3</v>
    <v>0</v>
    <v>USD</v>
    <v>Walmart Inc. is a technology-powered omni-channel retailer. The Company provides the opportunity to shop in both retail stores and through e-commerce and to access its other service offerings. It offers an assortment of merchandise and services at everyday low prices (EDLP). It operates through three segments: Walmart U.S., Walmart International and Sam's Club. The Walmart U.S. segment is a mass merchandiser of consumer products, operating under the Walmart and Walmart Neighborhood Market brands, as well as walmart.com and other e-commerce brands. Walmart International segment includes various formats divided into two categories: retail and wholesale. These categories consist of many formats, including supercenters, supermarkets, hypermarkets, warehouse clubs (including Sam's Clubs) and cash &amp; carry, as well as e-commerce through walmart.com.mx, walmart.ca, flipkart.com, walmart.cn and other sites. Sam's Club segment is a membership-only warehouse club that also operates samsclub.com.</v>
    <v>2100000</v>
    <v>New York Stock Exchange</v>
    <v>XNYS</v>
    <v>XNYS</v>
    <v>702 SW 8th St, BENTONVILLE, AR, 72716-6209 US</v>
    <v>155.61000000000001</v>
    <v>Food &amp; Drug Retailing</v>
    <v>Stock</v>
    <v>45261.919396921097</v>
    <v>0</v>
    <v>152.63</v>
    <v>415416000000</v>
    <v>WALMART INC.</v>
    <v>WALMART INC.</v>
    <v>155.38</v>
    <v>25.8462</v>
    <v>155.69</v>
    <v>154.35</v>
    <v>154.34</v>
    <v>2691564000</v>
    <v>WMT</v>
    <v>WALMART INC. (XNYS:WMT)</v>
    <v>13091223</v>
    <v>7912793</v>
    <v>1969</v>
  </rv>
  <rv s="2">
    <v>1</v>
  </rv>
  <rv s="0">
    <v>https://www.bing.com/financeapi/forcetrigger?t=a1mou2&amp;q=XNAS%3aAAPL&amp;form=skydnc</v>
    <v>Learn more on Bing</v>
  </rv>
  <rv s="1">
    <v>en-CA</v>
    <v>a1mou2</v>
    <v>268435456</v>
    <v>1</v>
    <v>Powered by Refinitiv</v>
    <v>0</v>
    <v>APPLE INC. (XNAS:AAPL)</v>
    <v>2</v>
    <v>3</v>
    <v>Finance</v>
    <v>5</v>
    <v>198.23</v>
    <v>124.17</v>
    <v>1.3015000000000001</v>
    <v>1.29</v>
    <v>3.1370000000000004E-4</v>
    <v>6.7910000000000002E-3</v>
    <v>0.06</v>
    <v>USD</v>
    <v>Apple Inc. designs, manufactures and markets smartphones, personal computers, tablets, wearables and accessories, and sells a variety of related services. The Company's product categories include iPhone, Mac, iPad, and Wearables, Home and Accessories. Its software platforms include iOS, iPadOS, macOS, watchOS and tvOS. Its services include advertising, AppleCare, cloud services, digital content and payment services. It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The Company's products include iPhone 15 Pro, iPhone 15, iPhone 14, iPhone 13, MacBook Air, MacBook Pro, iMac, Mac mini, Mac Studio, Mac Pro, iPad Pro, iPad Air, iPad, iPad mini, Apple Watch Series 9, AirPods, AirPods Pro, AirPods Max and HomePod.</v>
    <v>161000</v>
    <v>Nasdaq Stock Market</v>
    <v>XNAS</v>
    <v>XNAS</v>
    <v>One Apple Park Way, CUPERTINO, CA, 95014 US</v>
    <v>191.56</v>
    <v>Computers, Phones &amp; Household Electronics</v>
    <v>Stock</v>
    <v>45261.963449640622</v>
    <v>3</v>
    <v>189.23</v>
    <v>2974308000000</v>
    <v>APPLE INC.</v>
    <v>APPLE INC.</v>
    <v>190.33</v>
    <v>30.9665</v>
    <v>189.95</v>
    <v>191.24</v>
    <v>191.3</v>
    <v>15552750000</v>
    <v>AAPL</v>
    <v>APPLE INC. (XNAS:AAPL)</v>
    <v>45704823</v>
    <v>52994483</v>
    <v>1977</v>
  </rv>
  <rv s="2">
    <v>4</v>
  </rv>
  <rv s="0">
    <v>http://en.wikipedia.org/wiki/Public_domain</v>
    <v>Public domain</v>
  </rv>
  <rv s="0">
    <v>https://en.wikipedia.org/wiki/Microsoft</v>
    <v>Wikipedia</v>
  </rv>
  <rv s="3">
    <v>6</v>
    <v>7</v>
  </rv>
  <rv s="4">
    <v>10</v>
    <v>https://www.bing.com/th?id=AMMS_e6e837c7bf3a77408619758b7447855a&amp;qlt=95</v>
    <v>8</v>
    <v>0</v>
    <v>https://www.bing.com/images/search?form=xlimg&amp;q=microsoft</v>
    <v>Image of MICROSOFT CORPORATION</v>
  </rv>
  <rv s="0">
    <v>https://www.bing.com/financeapi/forcetrigger?t=a1xzim&amp;q=XNAS%3aMSFT&amp;form=skydnc</v>
    <v>Learn more on Bing</v>
  </rv>
  <rv s="5">
    <v>en-CA</v>
    <v>a1xzim</v>
    <v>268435456</v>
    <v>1</v>
    <v>Powered by Refinitiv</v>
    <v>6</v>
    <v>MICROSOFT CORPORATION (XNAS:MSFT)</v>
    <v>8</v>
    <v>9</v>
    <v>Finance</v>
    <v>5</v>
    <v>384.3</v>
    <v>219.35</v>
    <v>0.88859999999999995</v>
    <v>-4.4000000000000004</v>
    <v>-2.9369999999999998E-4</v>
    <v>-1.1612000000000001E-2</v>
    <v>-0.11</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221000</v>
    <v>Nasdaq Stock Market</v>
    <v>XNAS</v>
    <v>XNAS</v>
    <v>One Microsoft Way, REDMOND, WA, 98052-6399 US</v>
    <v>378.16</v>
    <v>9</v>
    <v>Software &amp; IT Services</v>
    <v>Stock</v>
    <v>45261.932665392967</v>
    <v>10</v>
    <v>371.31</v>
    <v>2783457000000</v>
    <v>MICROSOFT CORPORATION</v>
    <v>MICROSOFT CORPORATION</v>
    <v>376.76</v>
    <v>36.693100000000001</v>
    <v>378.91</v>
    <v>374.51</v>
    <v>374.4</v>
    <v>7432262000</v>
    <v>MSFT</v>
    <v>MICROSOFT CORPORATION (XNAS:MSFT)</v>
    <v>33040472</v>
    <v>26997752</v>
    <v>1993</v>
  </rv>
  <rv s="2">
    <v>11</v>
  </rv>
  <rv s="0">
    <v>https://www.bing.com/financeapi/forcetrigger?t=a1nhlh&amp;q=XNAS%3aAMZN&amp;form=skydnc</v>
    <v>Learn more on Bing</v>
  </rv>
  <rv s="1">
    <v>en-CA</v>
    <v>a1nhlh</v>
    <v>268435456</v>
    <v>1</v>
    <v>Powered by Refinitiv</v>
    <v>0</v>
    <v>AMAZON.COM, INC. (XNAS:AMZN)</v>
    <v>2</v>
    <v>3</v>
    <v>Finance</v>
    <v>5</v>
    <v>149.26</v>
    <v>81.430000000000007</v>
    <v>1.1659999999999999</v>
    <v>0.94</v>
    <v>2.0400000000000003E-4</v>
    <v>6.4339999999999996E-3</v>
    <v>0.03</v>
    <v>USD</v>
    <v>Amazon.com, Inc. provides a range of products and services to customers. The products offered through its stores include merchandise and content that it purchased for resale and products offered by third-party sellers. It manufactures and sells electronic devices, including Kindle, Fire tablet, Fire TV, Echo, and Ring, and it develops and produces media content. It also offers subscription services such as Amazon Prime, a membership program. Its segments include North America, International and Amazon Web Services (AWS). The AWS segment consists of global sales of compute, storage, database, and other services for start-ups, enterprises, government agencies, and academic institutions. It provides advertising services to sellers, vendors, publishers, authors, and others, through programs, such as sponsored advertisements, display, and video advertising. Customers access its offerings through websites, mobile applications, Alexa, devices, streaming, and physically visiting its stores.</v>
    <v>1500000</v>
    <v>Nasdaq Stock Market</v>
    <v>XNAS</v>
    <v>XNAS</v>
    <v>410 Terry Ave N, SEATTLE, WA, 98109 US</v>
    <v>147.245</v>
    <v>Diversified Retail</v>
    <v>Stock</v>
    <v>45261.948569710155</v>
    <v>13</v>
    <v>145.55000000000001</v>
    <v>1519413000000</v>
    <v>AMAZON.COM, INC.</v>
    <v>AMAZON.COM, INC.</v>
    <v>146</v>
    <v>76.2697</v>
    <v>146.09</v>
    <v>147.03</v>
    <v>147.06</v>
    <v>10334030000</v>
    <v>AMZN</v>
    <v>AMAZON.COM, INC. (XNAS:AMZN)</v>
    <v>39951833</v>
    <v>55040222</v>
    <v>1996</v>
  </rv>
  <rv s="2">
    <v>14</v>
  </rv>
</rvData>
</file>

<file path=xl/richData/rdrichvaluestructure.xml><?xml version="1.0" encoding="utf-8"?>
<rvStructures xmlns="http://schemas.microsoft.com/office/spreadsheetml/2017/richdata" count="6">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sourceattribution">
    <k n="License" t="r"/>
    <k n="Source" t="r"/>
  </s>
  <s t="_imageurl">
    <k n="_Provider" t="spb"/>
    <k n="Address" t="s"/>
    <k n="Attribution" t="r"/>
    <k n="ComputedImage" t="b"/>
    <k n="More Images 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rvStructures>
</file>

<file path=xl/richData/rdsupportingpropertybag.xml><?xml version="1.0" encoding="utf-8"?>
<supportingPropertyBags xmlns="http://schemas.microsoft.com/office/spreadsheetml/2017/richdata2">
  <spbArrays count="2">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spbArrays>
  <spbData count="11">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0</v>
      <v>0</v>
    </spb>
    <spb s="6">
      <v>7</v>
      <v>1</v>
      <v>1</v>
      <v>1</v>
      <v>1</v>
    </spb>
    <spb s="7">
      <v>1</v>
      <v>2</v>
      <v>2</v>
      <v>1</v>
      <v>3</v>
      <v>1</v>
      <v>10</v>
      <v>1</v>
      <v>1</v>
      <v>4</v>
      <v>4</v>
      <v>5</v>
      <v>6</v>
      <v>1</v>
      <v>1</v>
      <v>1</v>
      <v>4</v>
      <v>7</v>
      <v>8</v>
      <v>9</v>
      <v>4</v>
      <v>1</v>
      <v>1</v>
      <v>5</v>
    </spb>
    <spb s="8">
      <v>Powered by Refinitiv</v>
    </spb>
  </spbData>
</supportingPropertyBags>
</file>

<file path=xl/richData/rdsupportingpropertybagstructure.xml><?xml version="1.0" encoding="utf-8"?>
<spbStructures xmlns="http://schemas.microsoft.com/office/spreadsheetml/2017/richdata2" count="9">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0" formatCode="General"/>
    </x:dxf>
    <x:dxf>
      <x:numFmt numFmtId="4" formatCode="#,##0.00"/>
    </x:dxf>
    <x:dxf>
      <x:numFmt numFmtId="3" formatCode="#,##0"/>
    </x:dxf>
    <x:dxf>
      <x:numFmt numFmtId="14" formatCode="0.00%"/>
    </x:dxf>
    <x:dxf>
      <x:numFmt numFmtId="27" formatCode="dd/mm/yyyy\ h:mm"/>
    </x:dxf>
    <x:dxf>
      <x:numFmt numFmtId="1" formatCode="0"/>
    </x:dxf>
    <x:dxf>
      <x:numFmt numFmtId="2" formatCode="0.00"/>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rpv i="2">1</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EAEBD8B-FD91-42FE-85F7-A50043278E53}" name="Table2" displayName="Table2" ref="A10:H14" totalsRowShown="0" headerRowDxfId="18" dataDxfId="17">
  <autoFilter ref="A10:H14" xr:uid="{1EAEBD8B-FD91-42FE-85F7-A50043278E53}"/>
  <tableColumns count="8">
    <tableColumn id="1" xr3:uid="{509B60DB-6DAB-46B3-8C00-EAD0EA601BC2}" name="Company Name" dataDxfId="26"/>
    <tableColumn id="12" xr3:uid="{2186752B-8B55-4A82-9D81-AA40E2B77DAD}" name="Ticker symbol" dataDxfId="25">
      <calculatedColumnFormula array="1">_FV(Table2[[#This Row],[Company Name]],"Ticker symbol",TRUE)</calculatedColumnFormula>
    </tableColumn>
    <tableColumn id="9" xr3:uid="{CFE065CD-F1B4-49F4-88FB-485E7D1C7359}" name="Price" dataDxfId="24">
      <calculatedColumnFormula array="1">_FV(Table2[[#This Row],[Company Name]],"Price")</calculatedColumnFormula>
    </tableColumn>
    <tableColumn id="10" xr3:uid="{08C1152F-0C84-41DA-B806-1AE4182B49F4}" name="Beta" dataDxfId="23">
      <calculatedColumnFormula array="1">_FV(Table2[[#This Row],[Company Name]],"Beta")</calculatedColumnFormula>
    </tableColumn>
    <tableColumn id="5" xr3:uid="{F1932B23-7167-4F33-A4BB-BBA04C2171C9}" name="ESG Risk Rating" dataDxfId="22"/>
    <tableColumn id="6" xr3:uid="{4DA42F15-7F25-4A77-ABE1-389BC3DC5870}" name="Adjusted Beta" dataDxfId="21">
      <calculatedColumnFormula>Table2[[#This Row],[Beta]] * (1 + IFERROR(VLOOKUP(Table2[[#This Row],[ESG Risk Rating]], Table68[[ESG Rating]:[Impact]], 2, FALSE), 0.2))</calculatedColumnFormula>
    </tableColumn>
    <tableColumn id="13" xr3:uid="{C91F5848-E0B7-499C-A405-62DC3A66A494}" name="Expected Return" dataDxfId="20">
      <calculatedColumnFormula>$B$4+(Table2[[#This Row],[Beta]]*($B$5-$B$4))</calculatedColumnFormula>
    </tableColumn>
    <tableColumn id="14" xr3:uid="{8A8874E6-8F26-4950-9763-91F974C2563E}" name="Adjusted Expected Return" dataDxfId="19">
      <calculatedColumnFormula>$B$4+(Table2[[#This Row],[Adjusted Beta]]*($B$5-$B$4))</calculatedColumnFormula>
    </tableColumn>
  </tableColumns>
  <tableStyleInfo name="TableStyleMedium2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FD05178-221C-4607-8284-E6260A6DCD83}" name="Table1" displayName="Table1" ref="A9:E11" headerRowDxfId="29" dataDxfId="27" totalsRowDxfId="28" tableBorderDxfId="50">
  <autoFilter ref="A9:E11" xr:uid="{8FD05178-221C-4607-8284-E6260A6DCD83}"/>
  <tableColumns count="5">
    <tableColumn id="1" xr3:uid="{9D884339-6AF4-4992-A0FE-45B47450795A}" name="Stock" totalsRowLabel="Total" dataDxfId="34" totalsRowDxfId="49"/>
    <tableColumn id="2" xr3:uid="{FF4E8219-CF08-4589-96D4-915CF3E2A29A}" name="Excpected return" dataDxfId="33" totalsRowDxfId="48"/>
    <tableColumn id="5" xr3:uid="{A11B147B-577E-4BDF-AD7F-91A446E06233}" name="Adjusted Expected Return" dataDxfId="32" totalsRowDxfId="47"/>
    <tableColumn id="3" xr3:uid="{E2C04935-AC48-4219-BF03-EC75657066EC}" name="Number of shares" dataDxfId="31" totalsRowDxfId="46"/>
    <tableColumn id="4" xr3:uid="{1115F582-8C8C-4BB9-A875-D72103C1F9E2}" name="Weight" totalsRowFunction="sum" dataDxfId="30" totalsRowDxfId="45">
      <calculatedColumnFormula>Table1[[#This Row],[Number of shares]]/SUM(Table1[Number of shares])</calculatedColumnFormula>
    </tableColumn>
  </tableColumns>
  <tableStyleInfo name="TableStyleLight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8D525CB-EFF0-4E87-AF5A-DED239617813}" name="Table68" displayName="Table68" ref="A14:C55" totalsRowShown="0" headerRowDxfId="44" dataDxfId="43">
  <autoFilter ref="A14:C55" xr:uid="{38D525CB-EFF0-4E87-AF5A-DED239617813}"/>
  <tableColumns count="3">
    <tableColumn id="2" xr3:uid="{6B7C9C46-5690-43E3-8CCA-2F512DD758B5}" name="ESG Rating" dataDxfId="42"/>
    <tableColumn id="3" xr3:uid="{6B8B3855-D1AE-442D-A5FF-9063DFD85D3F}" name="Impact" dataDxfId="41"/>
    <tableColumn id="1" xr3:uid="{0A17BDC2-B2A3-4E44-BB31-B0E0EE434C45}" name="Category" dataDxfId="40"/>
  </tableColumns>
  <tableStyleInfo name="TableStyleMedium2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CB4D0E8-DCCF-4BCB-9134-3D577DAA1CD3}" name="Table3" displayName="Table3" ref="A7:C11" totalsRowShown="0" headerRowDxfId="39" dataDxfId="38">
  <autoFilter ref="A7:C11" xr:uid="{6CB4D0E8-DCCF-4BCB-9134-3D577DAA1CD3}"/>
  <tableColumns count="3">
    <tableColumn id="1" xr3:uid="{7C91DE38-1E2B-43F8-8EB5-D07328712C6C}" name="Value" dataDxfId="37"/>
    <tableColumn id="2" xr3:uid="{FA31C9BE-E8EC-4657-B96B-BE5CEBB22B7F}" name="Description" dataDxfId="36"/>
    <tableColumn id="3" xr3:uid="{28AD12C3-7E8B-40A6-8B25-2816DBC77FB6}" name="How to obtain necessary values" dataDxfId="35" dataCellStyle="Hyperlink"/>
  </tableColumns>
  <tableStyleInfo name="TableStyleMedium2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CDC6215-662F-4C1C-BB7C-5E8D432B7F25}" name="Table4" displayName="Table4" ref="A4:B8" totalsRowShown="0" headerRowDxfId="1" dataDxfId="0">
  <autoFilter ref="A4:B8" xr:uid="{7CDC6215-662F-4C1C-BB7C-5E8D432B7F25}"/>
  <tableColumns count="2">
    <tableColumn id="1" xr3:uid="{55CFBB33-0FA2-4757-913F-A6711818183F}" name="Item" dataDxfId="3"/>
    <tableColumn id="2" xr3:uid="{4CD6157C-BDE7-4AE9-9CE9-ABF27BD4B9BF}" name="Formulas" dataDxfId="2"/>
  </tableColumns>
  <tableStyleInfo name="TableStyleMedium2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table" Target="../tables/table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hyperlink" Target="https://www.spglobal.com/spdji/en/indices/equity/sp-500/" TargetMode="External"/><Relationship Id="rId1" Type="http://schemas.openxmlformats.org/officeDocument/2006/relationships/hyperlink" Target="https://home.treasury.gov/resource-center/data-chart-center/interest-rates/TextView?type=daily_treasury_yield_curve&amp;field_tdr_date_value_month=202312" TargetMode="External"/><Relationship Id="rId4" Type="http://schemas.openxmlformats.org/officeDocument/2006/relationships/table" Target="../tables/table4.xml"/></Relationships>
</file>

<file path=xl/worksheets/_rels/sheet4.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ABFD-7F90-44EB-B9B7-B3DE540E9184}">
  <sheetPr codeName="Sheet1"/>
  <dimension ref="A1:H14"/>
  <sheetViews>
    <sheetView workbookViewId="0">
      <selection activeCell="H12" sqref="H12"/>
    </sheetView>
  </sheetViews>
  <sheetFormatPr defaultRowHeight="14.4" x14ac:dyDescent="0.3"/>
  <cols>
    <col min="1" max="1" width="16.77734375" style="4" customWidth="1"/>
    <col min="2" max="2" width="18.21875" style="4" customWidth="1"/>
    <col min="3" max="3" width="13" style="4" customWidth="1"/>
    <col min="4" max="4" width="18.5546875" style="4" customWidth="1"/>
    <col min="5" max="5" width="18.6640625" style="4" customWidth="1"/>
    <col min="6" max="6" width="17.44140625" style="4" customWidth="1"/>
    <col min="7" max="7" width="18.77734375" style="4" customWidth="1"/>
    <col min="8" max="8" width="25.33203125" style="4" bestFit="1" customWidth="1"/>
    <col min="9" max="9" width="16.88671875" style="4" customWidth="1"/>
    <col min="10" max="10" width="15" style="4" bestFit="1" customWidth="1"/>
    <col min="11" max="16384" width="8.88671875" style="4"/>
  </cols>
  <sheetData>
    <row r="1" spans="1:8" ht="28.8" x14ac:dyDescent="0.55000000000000004">
      <c r="A1" s="26" t="str">
        <f>'Admin Sheet'!B3</f>
        <v>ABC Company</v>
      </c>
      <c r="B1" s="26"/>
      <c r="C1" s="26"/>
      <c r="D1" s="26"/>
      <c r="E1" s="26"/>
      <c r="F1" s="26"/>
      <c r="G1" s="26"/>
      <c r="H1" s="26"/>
    </row>
    <row r="3" spans="1:8" ht="15" thickBot="1" x14ac:dyDescent="0.35"/>
    <row r="4" spans="1:8" x14ac:dyDescent="0.3">
      <c r="A4" s="1" t="s">
        <v>36</v>
      </c>
      <c r="B4" s="2">
        <v>4.2200000000000001E-2</v>
      </c>
    </row>
    <row r="5" spans="1:8" ht="15" thickBot="1" x14ac:dyDescent="0.35">
      <c r="A5" s="9" t="s">
        <v>7</v>
      </c>
      <c r="B5" s="3">
        <v>9.7900000000000001E-2</v>
      </c>
    </row>
    <row r="10" spans="1:8" x14ac:dyDescent="0.3">
      <c r="A10" s="30" t="s">
        <v>37</v>
      </c>
      <c r="B10" s="30" t="s">
        <v>17</v>
      </c>
      <c r="C10" s="30" t="s">
        <v>3</v>
      </c>
      <c r="D10" s="30" t="s">
        <v>0</v>
      </c>
      <c r="E10" s="30" t="s">
        <v>5</v>
      </c>
      <c r="F10" s="30" t="s">
        <v>9</v>
      </c>
      <c r="G10" s="30" t="s">
        <v>18</v>
      </c>
      <c r="H10" s="30" t="s">
        <v>19</v>
      </c>
    </row>
    <row r="11" spans="1:8" x14ac:dyDescent="0.3">
      <c r="A11" s="31" t="e" vm="1">
        <v>#VALUE!</v>
      </c>
      <c r="B11" s="28" t="str" cm="1">
        <f t="array" ref="B11">_FV(Table2[[#This Row],[Company Name]],"Ticker symbol",TRUE)</f>
        <v>WMT</v>
      </c>
      <c r="C11" s="32" cm="1">
        <f t="array" ref="C11">_FV(Table2[[#This Row],[Company Name]],"Price")</f>
        <v>154.35</v>
      </c>
      <c r="D11" s="33" cm="1">
        <f t="array" ref="D11">_FV(Table2[[#This Row],[Company Name]],"Beta")</f>
        <v>0.4869</v>
      </c>
      <c r="E11" s="28">
        <v>25</v>
      </c>
      <c r="F11" s="28">
        <f>Table2[[#This Row],[Beta]] * (1 + IFERROR(VLOOKUP(Table2[[#This Row],[ESG Risk Rating]], Table68[[ESG Rating]:[Impact]], 2, FALSE), 0.2))</f>
        <v>0.4869</v>
      </c>
      <c r="G11" s="29">
        <f>$B$4+(Table2[[#This Row],[Beta]]*($B$5-$B$4))</f>
        <v>6.9320329999999999E-2</v>
      </c>
      <c r="H11" s="29">
        <f>$B$4+(Table2[[#This Row],[Adjusted Beta]]*($B$5-$B$4))</f>
        <v>6.9320329999999999E-2</v>
      </c>
    </row>
    <row r="12" spans="1:8" x14ac:dyDescent="0.3">
      <c r="A12" s="31" t="e" vm="2">
        <v>#VALUE!</v>
      </c>
      <c r="B12" s="28" t="str" cm="1">
        <f t="array" ref="B12">_FV(Table2[[#This Row],[Company Name]],"Ticker symbol",TRUE)</f>
        <v>AAPL</v>
      </c>
      <c r="C12" s="32" cm="1">
        <f t="array" ref="C12">_FV(Table2[[#This Row],[Company Name]],"Price")</f>
        <v>191.24</v>
      </c>
      <c r="D12" s="33" cm="1">
        <f t="array" ref="D12">_FV(Table2[[#This Row],[Company Name]],"Beta")</f>
        <v>1.3015000000000001</v>
      </c>
      <c r="E12" s="28">
        <v>17</v>
      </c>
      <c r="F12" s="28">
        <f>Table2[[#This Row],[Beta]] * (1 + IFERROR(VLOOKUP(Table2[[#This Row],[ESG Risk Rating]], Table68[[ESG Rating]:[Impact]], 2, FALSE), 0.2))</f>
        <v>1.1713500000000001</v>
      </c>
      <c r="G12" s="29">
        <f>$B$4+(Table2[[#This Row],[Beta]]*($B$5-$B$4))</f>
        <v>0.11469355000000001</v>
      </c>
      <c r="H12" s="29">
        <f>$B$4+(Table2[[#This Row],[Adjusted Beta]]*($B$5-$B$4))</f>
        <v>0.10744419500000001</v>
      </c>
    </row>
    <row r="13" spans="1:8" x14ac:dyDescent="0.3">
      <c r="A13" s="31" t="e" vm="3">
        <v>#VALUE!</v>
      </c>
      <c r="B13" s="28" t="str" cm="1">
        <f t="array" ref="B13">_FV(Table2[[#This Row],[Company Name]],"Ticker symbol",TRUE)</f>
        <v>MSFT</v>
      </c>
      <c r="C13" s="32" cm="1">
        <f t="array" ref="C13">_FV(Table2[[#This Row],[Company Name]],"Price")</f>
        <v>374.51</v>
      </c>
      <c r="D13" s="33" cm="1">
        <f t="array" ref="D13">_FV(Table2[[#This Row],[Company Name]],"Beta")</f>
        <v>0.88859999999999995</v>
      </c>
      <c r="E13" s="28">
        <v>15</v>
      </c>
      <c r="F13" s="28">
        <f>Table2[[#This Row],[Beta]] * (1 + IFERROR(VLOOKUP(Table2[[#This Row],[ESG Risk Rating]], Table68[[ESG Rating]:[Impact]], 2, FALSE), 0.2))</f>
        <v>0.79974000000000001</v>
      </c>
      <c r="G13" s="29">
        <f>$B$4+(Table2[[#This Row],[Beta]]*($B$5-$B$4))</f>
        <v>9.1695019999999988E-2</v>
      </c>
      <c r="H13" s="29">
        <f>$B$4+(Table2[[#This Row],[Adjusted Beta]]*($B$5-$B$4))</f>
        <v>8.6745517999999994E-2</v>
      </c>
    </row>
    <row r="14" spans="1:8" x14ac:dyDescent="0.3">
      <c r="A14" s="31" t="e" vm="4">
        <v>#VALUE!</v>
      </c>
      <c r="B14" s="28" t="str" cm="1">
        <f t="array" ref="B14">_FV(Table2[[#This Row],[Company Name]],"Ticker symbol",TRUE)</f>
        <v>AMZN</v>
      </c>
      <c r="C14" s="32" cm="1">
        <f t="array" ref="C14">_FV(Table2[[#This Row],[Company Name]],"Price")</f>
        <v>147.03</v>
      </c>
      <c r="D14" s="33" cm="1">
        <f t="array" ref="D14">_FV(Table2[[#This Row],[Company Name]],"Beta")</f>
        <v>1.1659999999999999</v>
      </c>
      <c r="E14" s="28">
        <v>31</v>
      </c>
      <c r="F14" s="34">
        <f>Table2[[#This Row],[Beta]] * (1 + IFERROR(VLOOKUP(Table2[[#This Row],[ESG Risk Rating]], Table68[[ESG Rating]:[Impact]], 2, FALSE), 0.2))</f>
        <v>1.2826</v>
      </c>
      <c r="G14" s="29">
        <f>$B$4+(Table2[[#This Row],[Beta]]*($B$5-$B$4))</f>
        <v>0.1071462</v>
      </c>
      <c r="H14" s="29">
        <f>$B$4+(Table2[[#This Row],[Adjusted Beta]]*($B$5-$B$4))</f>
        <v>0.11364082</v>
      </c>
    </row>
  </sheetData>
  <mergeCells count="1">
    <mergeCell ref="A1:H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RemoveStock" altText="Button 1">
                <anchor>
                  <from>
                    <xdr:col>3</xdr:col>
                    <xdr:colOff>15240</xdr:colOff>
                    <xdr:row>3</xdr:row>
                    <xdr:rowOff>0</xdr:rowOff>
                  </from>
                  <to>
                    <xdr:col>4</xdr:col>
                    <xdr:colOff>571500</xdr:colOff>
                    <xdr:row>7</xdr:row>
                    <xdr:rowOff>167640</xdr:rowOff>
                  </to>
                </anchor>
              </controlPr>
            </control>
          </mc:Choice>
        </mc:AlternateContent>
        <mc:AlternateContent xmlns:mc="http://schemas.openxmlformats.org/markup-compatibility/2006">
          <mc:Choice Requires="x14">
            <control shapeId="1032" r:id="rId4" name="Button 8">
              <controlPr defaultSize="0" print="0" autoFill="0" autoPict="0" macro="[0]!AddToPortfolio">
                <anchor moveWithCells="1">
                  <from>
                    <xdr:col>5</xdr:col>
                    <xdr:colOff>15240</xdr:colOff>
                    <xdr:row>3</xdr:row>
                    <xdr:rowOff>7620</xdr:rowOff>
                  </from>
                  <to>
                    <xdr:col>6</xdr:col>
                    <xdr:colOff>640080</xdr:colOff>
                    <xdr:row>7</xdr:row>
                    <xdr:rowOff>175260</xdr:rowOff>
                  </to>
                </anchor>
              </controlPr>
            </control>
          </mc:Choice>
        </mc:AlternateContent>
      </controls>
    </mc:Choice>
  </mc:AlternateContent>
  <tableParts count="1">
    <tablePart r:id="rId5"/>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916AF4-A57D-40B4-B0B3-BF7FB4E90C16}">
  <sheetPr codeName="Sheet2"/>
  <dimension ref="A1:I24"/>
  <sheetViews>
    <sheetView tabSelected="1" workbookViewId="0">
      <selection activeCell="E18" sqref="E18"/>
    </sheetView>
  </sheetViews>
  <sheetFormatPr defaultRowHeight="14.4" x14ac:dyDescent="0.3"/>
  <cols>
    <col min="1" max="1" width="18.77734375" style="4" customWidth="1"/>
    <col min="2" max="2" width="17.109375" style="4" customWidth="1"/>
    <col min="3" max="3" width="33.88671875" style="4" customWidth="1"/>
    <col min="4" max="4" width="24.109375" style="4" customWidth="1"/>
    <col min="5" max="5" width="24.33203125" style="4" customWidth="1"/>
    <col min="6" max="6" width="34.77734375" style="4" customWidth="1"/>
    <col min="7" max="7" width="37.5546875" style="4" customWidth="1"/>
    <col min="8" max="8" width="13.77734375" style="4" customWidth="1"/>
    <col min="9" max="16384" width="8.88671875" style="4"/>
  </cols>
  <sheetData>
    <row r="1" spans="1:9" ht="28.8" x14ac:dyDescent="0.55000000000000004">
      <c r="A1" s="26" t="str">
        <f>'Admin Sheet'!B3</f>
        <v>ABC Company</v>
      </c>
      <c r="B1" s="26"/>
      <c r="C1" s="26"/>
      <c r="D1" s="26"/>
      <c r="E1" s="26"/>
      <c r="F1" s="26"/>
    </row>
    <row r="2" spans="1:9" x14ac:dyDescent="0.3">
      <c r="C2" s="5"/>
      <c r="D2" s="5"/>
      <c r="E2" s="5"/>
      <c r="F2" s="6"/>
      <c r="H2" s="7"/>
      <c r="I2" s="7"/>
    </row>
    <row r="3" spans="1:9" ht="15" thickBot="1" x14ac:dyDescent="0.35">
      <c r="C3" s="5"/>
      <c r="D3" s="5"/>
      <c r="E3" s="5"/>
      <c r="F3" s="6"/>
      <c r="H3" s="7"/>
      <c r="I3" s="7"/>
    </row>
    <row r="4" spans="1:9" x14ac:dyDescent="0.3">
      <c r="C4" s="1" t="s">
        <v>38</v>
      </c>
      <c r="D4" s="14">
        <f>SUMPRODUCT(Table1[Excpected return],Table1[Weight])</f>
        <v>8.6397419354838717E-2</v>
      </c>
      <c r="E4" s="5"/>
      <c r="F4" s="6"/>
      <c r="H4" s="7"/>
      <c r="I4" s="7"/>
    </row>
    <row r="5" spans="1:9" x14ac:dyDescent="0.3">
      <c r="C5" s="16" t="s">
        <v>39</v>
      </c>
      <c r="D5" s="15">
        <f>SUMPRODUCT(Table1[Adjusted Expected Return],Table1[Weight])</f>
        <v>8.6397419354838717E-2</v>
      </c>
      <c r="E5" s="5"/>
      <c r="F5" s="6"/>
      <c r="H5" s="7"/>
      <c r="I5" s="7"/>
    </row>
    <row r="6" spans="1:9" ht="15" thickBot="1" x14ac:dyDescent="0.35">
      <c r="C6" s="9" t="s">
        <v>7</v>
      </c>
      <c r="D6" s="17">
        <f>'Stock Sheet'!$B$5</f>
        <v>9.7900000000000001E-2</v>
      </c>
      <c r="E6" s="5"/>
      <c r="F6" s="6"/>
      <c r="H6" s="7"/>
      <c r="I6" s="7"/>
    </row>
    <row r="7" spans="1:9" x14ac:dyDescent="0.3">
      <c r="C7" s="13"/>
    </row>
    <row r="9" spans="1:9" ht="28.8" x14ac:dyDescent="0.3">
      <c r="A9" s="27" t="s">
        <v>24</v>
      </c>
      <c r="B9" s="27" t="s">
        <v>25</v>
      </c>
      <c r="C9" s="27" t="s">
        <v>19</v>
      </c>
      <c r="D9" s="27" t="s">
        <v>26</v>
      </c>
      <c r="E9" s="27" t="s">
        <v>27</v>
      </c>
      <c r="G9" s="35" t="str">
        <f>IF($D$6&lt;$D$4, "This is a good portfolio based on the expected return of the portfolio", "This is not a good portfolio based on the expected return of the portfolio")</f>
        <v>This is not a good portfolio based on the expected return of the portfolio</v>
      </c>
    </row>
    <row r="10" spans="1:9" ht="28.8" x14ac:dyDescent="0.3">
      <c r="A10" s="28" t="s">
        <v>28</v>
      </c>
      <c r="B10" s="28">
        <v>0.14011000000000001</v>
      </c>
      <c r="C10" s="28">
        <v>0.14011000000000001</v>
      </c>
      <c r="D10" s="28">
        <v>10</v>
      </c>
      <c r="E10" s="29">
        <f>Table1[[#This Row],[Number of shares]]/SUM(Table1[Number of shares])</f>
        <v>3.2258064516129031E-2</v>
      </c>
      <c r="G10" s="35" t="str">
        <f>IF($D$6&lt;$D$5, "This is a good portfolio based on the adjusted expected return of the portfolio", "This is not a good portfolio based on the adjusted expected return of the portfolio")</f>
        <v>This is not a good portfolio based on the adjusted expected return of the portfolio</v>
      </c>
    </row>
    <row r="11" spans="1:9" x14ac:dyDescent="0.3">
      <c r="A11" s="28" t="s">
        <v>29</v>
      </c>
      <c r="B11" s="28">
        <v>8.4607000000000002E-2</v>
      </c>
      <c r="C11" s="28">
        <v>8.4607000000000002E-2</v>
      </c>
      <c r="D11" s="28">
        <v>300</v>
      </c>
      <c r="E11" s="29">
        <f>Table1[[#This Row],[Number of shares]]/SUM(Table1[Number of shares])</f>
        <v>0.967741935483871</v>
      </c>
    </row>
    <row r="12" spans="1:9" x14ac:dyDescent="0.3">
      <c r="A12" s="8"/>
      <c r="B12" s="8"/>
      <c r="C12" s="8"/>
      <c r="D12" s="8"/>
      <c r="E12" s="10"/>
    </row>
    <row r="13" spans="1:9" x14ac:dyDescent="0.3">
      <c r="D13" s="8"/>
      <c r="E13" s="10"/>
    </row>
    <row r="14" spans="1:9" x14ac:dyDescent="0.3">
      <c r="A14" s="8"/>
      <c r="B14" s="8"/>
      <c r="C14" s="8"/>
      <c r="D14" s="10"/>
    </row>
    <row r="15" spans="1:9" x14ac:dyDescent="0.3">
      <c r="A15" s="8"/>
      <c r="B15" s="8"/>
      <c r="C15" s="8"/>
      <c r="D15" s="10"/>
    </row>
    <row r="16" spans="1:9" x14ac:dyDescent="0.3">
      <c r="A16" s="8"/>
      <c r="B16" s="8"/>
      <c r="C16" s="8"/>
      <c r="D16" s="10"/>
    </row>
    <row r="17" spans="1:4" x14ac:dyDescent="0.3">
      <c r="A17" s="8"/>
      <c r="B17" s="8"/>
      <c r="C17" s="8"/>
      <c r="D17" s="10"/>
    </row>
    <row r="18" spans="1:4" x14ac:dyDescent="0.3">
      <c r="A18" s="8"/>
      <c r="B18" s="8"/>
      <c r="C18" s="8"/>
      <c r="D18" s="10"/>
    </row>
    <row r="19" spans="1:4" x14ac:dyDescent="0.3">
      <c r="A19" s="8"/>
      <c r="B19" s="8"/>
      <c r="C19" s="8"/>
      <c r="D19" s="10"/>
    </row>
    <row r="20" spans="1:4" x14ac:dyDescent="0.3">
      <c r="A20" s="8"/>
      <c r="B20" s="8"/>
      <c r="C20" s="8"/>
      <c r="D20" s="8"/>
    </row>
    <row r="21" spans="1:4" x14ac:dyDescent="0.3">
      <c r="A21" s="8"/>
      <c r="B21" s="8"/>
      <c r="C21" s="8"/>
      <c r="D21" s="8"/>
    </row>
    <row r="22" spans="1:4" x14ac:dyDescent="0.3">
      <c r="A22" s="8"/>
      <c r="B22" s="8"/>
      <c r="C22" s="8"/>
      <c r="D22" s="8"/>
    </row>
    <row r="23" spans="1:4" x14ac:dyDescent="0.3">
      <c r="A23" s="8"/>
      <c r="B23" s="8"/>
      <c r="C23" s="8"/>
      <c r="D23" s="8"/>
    </row>
    <row r="24" spans="1:4" x14ac:dyDescent="0.3">
      <c r="A24" s="8"/>
      <c r="B24" s="8"/>
      <c r="C24" s="8"/>
      <c r="D24" s="8"/>
    </row>
  </sheetData>
  <mergeCells count="1">
    <mergeCell ref="A1:F1"/>
  </mergeCells>
  <conditionalFormatting sqref="G9">
    <cfRule type="expression" dxfId="8" priority="4">
      <formula>$D$6&lt;$D$4</formula>
    </cfRule>
    <cfRule type="expression" dxfId="11" priority="2">
      <formula>$D$6&gt;$D$4</formula>
    </cfRule>
  </conditionalFormatting>
  <conditionalFormatting sqref="G10">
    <cfRule type="expression" dxfId="10" priority="3">
      <formula>$D$6&lt;$D$5</formula>
    </cfRule>
    <cfRule type="expression" dxfId="9" priority="1">
      <formula>$D$6&gt;$D$5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RemoveStock">
                <anchor moveWithCells="1">
                  <from>
                    <xdr:col>5</xdr:col>
                    <xdr:colOff>525780</xdr:colOff>
                    <xdr:row>1</xdr:row>
                    <xdr:rowOff>175260</xdr:rowOff>
                  </from>
                  <to>
                    <xdr:col>5</xdr:col>
                    <xdr:colOff>2354580</xdr:colOff>
                    <xdr:row>6</xdr:row>
                    <xdr:rowOff>152400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D7E96-5C83-4FFB-B7BC-08927CF8DCC5}">
  <sheetPr codeName="Sheet3"/>
  <dimension ref="A1:F55"/>
  <sheetViews>
    <sheetView topLeftCell="A3" zoomScaleNormal="100" workbookViewId="0">
      <selection activeCell="G10" sqref="G10"/>
    </sheetView>
  </sheetViews>
  <sheetFormatPr defaultRowHeight="14.4" x14ac:dyDescent="0.3"/>
  <cols>
    <col min="1" max="1" width="26.77734375" style="4" customWidth="1"/>
    <col min="2" max="2" width="32.88671875" style="4" customWidth="1"/>
    <col min="3" max="3" width="46.88671875" style="4" customWidth="1"/>
    <col min="4" max="4" width="16.77734375" style="4" customWidth="1"/>
    <col min="5" max="5" width="16.88671875" style="4" customWidth="1"/>
    <col min="6" max="16384" width="8.88671875" style="4"/>
  </cols>
  <sheetData>
    <row r="1" spans="1:6" ht="28.8" x14ac:dyDescent="0.55000000000000004">
      <c r="A1" s="26" t="str">
        <f>B3</f>
        <v>ABC Company</v>
      </c>
      <c r="B1" s="26"/>
      <c r="C1" s="26"/>
    </row>
    <row r="3" spans="1:6" x14ac:dyDescent="0.3">
      <c r="A3" s="25" t="s">
        <v>34</v>
      </c>
      <c r="B3" s="24" t="s">
        <v>1</v>
      </c>
    </row>
    <row r="5" spans="1:6" x14ac:dyDescent="0.3">
      <c r="D5" s="13"/>
    </row>
    <row r="7" spans="1:6" x14ac:dyDescent="0.3">
      <c r="A7" s="12" t="s">
        <v>32</v>
      </c>
      <c r="B7" s="11" t="s">
        <v>2</v>
      </c>
      <c r="C7" s="20" t="s">
        <v>22</v>
      </c>
    </row>
    <row r="8" spans="1:6" ht="86.4" x14ac:dyDescent="0.3">
      <c r="A8" s="22" t="s">
        <v>4</v>
      </c>
      <c r="B8" s="23" t="s">
        <v>33</v>
      </c>
      <c r="C8" s="21" t="s">
        <v>35</v>
      </c>
      <c r="F8" s="18"/>
    </row>
    <row r="9" spans="1:6" ht="57.6" x14ac:dyDescent="0.3">
      <c r="A9" s="22" t="s">
        <v>6</v>
      </c>
      <c r="B9" s="23" t="s">
        <v>33</v>
      </c>
      <c r="C9" s="21" t="s">
        <v>20</v>
      </c>
      <c r="F9" s="18"/>
    </row>
    <row r="10" spans="1:6" ht="28.8" x14ac:dyDescent="0.3">
      <c r="A10" s="22" t="s">
        <v>7</v>
      </c>
      <c r="B10" s="23" t="s">
        <v>33</v>
      </c>
      <c r="C10" s="21" t="s">
        <v>21</v>
      </c>
      <c r="F10" s="18"/>
    </row>
    <row r="11" spans="1:6" x14ac:dyDescent="0.3">
      <c r="A11" s="22" t="s">
        <v>5</v>
      </c>
      <c r="B11" s="23" t="s">
        <v>33</v>
      </c>
      <c r="C11" s="21" t="s">
        <v>8</v>
      </c>
      <c r="F11" s="18"/>
    </row>
    <row r="12" spans="1:6" x14ac:dyDescent="0.3">
      <c r="A12" s="16"/>
      <c r="E12" s="6"/>
      <c r="F12" s="18"/>
    </row>
    <row r="14" spans="1:6" x14ac:dyDescent="0.3">
      <c r="A14" s="12" t="s">
        <v>23</v>
      </c>
      <c r="B14" s="12" t="s">
        <v>11</v>
      </c>
      <c r="C14" s="12" t="s">
        <v>10</v>
      </c>
    </row>
    <row r="15" spans="1:6" x14ac:dyDescent="0.3">
      <c r="A15" s="8">
        <v>0</v>
      </c>
      <c r="B15" s="19">
        <v>-0.2</v>
      </c>
      <c r="C15" s="8" t="s">
        <v>12</v>
      </c>
    </row>
    <row r="16" spans="1:6" x14ac:dyDescent="0.3">
      <c r="A16" s="8">
        <v>1</v>
      </c>
      <c r="B16" s="19">
        <v>-0.2</v>
      </c>
      <c r="C16" s="8" t="s">
        <v>12</v>
      </c>
    </row>
    <row r="17" spans="1:4" x14ac:dyDescent="0.3">
      <c r="A17" s="8">
        <v>2</v>
      </c>
      <c r="B17" s="19">
        <v>-0.2</v>
      </c>
      <c r="C17" s="8" t="s">
        <v>12</v>
      </c>
    </row>
    <row r="18" spans="1:4" x14ac:dyDescent="0.3">
      <c r="A18" s="8">
        <v>3</v>
      </c>
      <c r="B18" s="19">
        <v>-0.2</v>
      </c>
      <c r="C18" s="8" t="s">
        <v>12</v>
      </c>
    </row>
    <row r="19" spans="1:4" x14ac:dyDescent="0.3">
      <c r="A19" s="8">
        <v>4</v>
      </c>
      <c r="B19" s="19">
        <v>-0.2</v>
      </c>
      <c r="C19" s="8" t="s">
        <v>12</v>
      </c>
    </row>
    <row r="20" spans="1:4" x14ac:dyDescent="0.3">
      <c r="A20" s="8">
        <v>5</v>
      </c>
      <c r="B20" s="19">
        <v>-0.2</v>
      </c>
      <c r="C20" s="8" t="s">
        <v>12</v>
      </c>
    </row>
    <row r="21" spans="1:4" x14ac:dyDescent="0.3">
      <c r="A21" s="8">
        <v>6</v>
      </c>
      <c r="B21" s="19">
        <v>-0.2</v>
      </c>
      <c r="C21" s="8" t="s">
        <v>12</v>
      </c>
      <c r="D21" s="5"/>
    </row>
    <row r="22" spans="1:4" x14ac:dyDescent="0.3">
      <c r="A22" s="8">
        <v>7</v>
      </c>
      <c r="B22" s="19">
        <v>-0.2</v>
      </c>
      <c r="C22" s="8" t="s">
        <v>12</v>
      </c>
      <c r="D22" s="5"/>
    </row>
    <row r="23" spans="1:4" x14ac:dyDescent="0.3">
      <c r="A23" s="8">
        <v>8</v>
      </c>
      <c r="B23" s="19">
        <v>-0.2</v>
      </c>
      <c r="C23" s="8" t="s">
        <v>12</v>
      </c>
      <c r="D23" s="5"/>
    </row>
    <row r="24" spans="1:4" x14ac:dyDescent="0.3">
      <c r="A24" s="8">
        <v>9</v>
      </c>
      <c r="B24" s="19">
        <v>-0.2</v>
      </c>
      <c r="C24" s="8" t="s">
        <v>12</v>
      </c>
      <c r="D24" s="5"/>
    </row>
    <row r="25" spans="1:4" x14ac:dyDescent="0.3">
      <c r="A25" s="8">
        <v>10</v>
      </c>
      <c r="B25" s="19">
        <v>-0.2</v>
      </c>
      <c r="C25" s="8" t="s">
        <v>12</v>
      </c>
      <c r="D25" s="5"/>
    </row>
    <row r="26" spans="1:4" x14ac:dyDescent="0.3">
      <c r="A26" s="8">
        <v>11</v>
      </c>
      <c r="B26" s="19">
        <v>-0.1</v>
      </c>
      <c r="C26" s="8" t="s">
        <v>13</v>
      </c>
      <c r="D26" s="5"/>
    </row>
    <row r="27" spans="1:4" x14ac:dyDescent="0.3">
      <c r="A27" s="8">
        <v>12</v>
      </c>
      <c r="B27" s="19">
        <v>-0.1</v>
      </c>
      <c r="C27" s="8" t="s">
        <v>13</v>
      </c>
    </row>
    <row r="28" spans="1:4" x14ac:dyDescent="0.3">
      <c r="A28" s="8">
        <v>13</v>
      </c>
      <c r="B28" s="19">
        <v>-0.1</v>
      </c>
      <c r="C28" s="8" t="s">
        <v>13</v>
      </c>
    </row>
    <row r="29" spans="1:4" x14ac:dyDescent="0.3">
      <c r="A29" s="8">
        <v>14</v>
      </c>
      <c r="B29" s="19">
        <v>-0.1</v>
      </c>
      <c r="C29" s="8" t="s">
        <v>13</v>
      </c>
    </row>
    <row r="30" spans="1:4" x14ac:dyDescent="0.3">
      <c r="A30" s="8">
        <v>15</v>
      </c>
      <c r="B30" s="19">
        <v>-0.1</v>
      </c>
      <c r="C30" s="8" t="s">
        <v>13</v>
      </c>
    </row>
    <row r="31" spans="1:4" x14ac:dyDescent="0.3">
      <c r="A31" s="8">
        <v>16</v>
      </c>
      <c r="B31" s="19">
        <v>-0.1</v>
      </c>
      <c r="C31" s="8" t="s">
        <v>13</v>
      </c>
    </row>
    <row r="32" spans="1:4" x14ac:dyDescent="0.3">
      <c r="A32" s="8">
        <v>17</v>
      </c>
      <c r="B32" s="19">
        <v>-0.1</v>
      </c>
      <c r="C32" s="8" t="s">
        <v>13</v>
      </c>
    </row>
    <row r="33" spans="1:3" x14ac:dyDescent="0.3">
      <c r="A33" s="8">
        <v>18</v>
      </c>
      <c r="B33" s="19">
        <v>-0.1</v>
      </c>
      <c r="C33" s="8" t="s">
        <v>13</v>
      </c>
    </row>
    <row r="34" spans="1:3" x14ac:dyDescent="0.3">
      <c r="A34" s="8">
        <v>19</v>
      </c>
      <c r="B34" s="19">
        <v>-0.1</v>
      </c>
      <c r="C34" s="8" t="s">
        <v>13</v>
      </c>
    </row>
    <row r="35" spans="1:3" x14ac:dyDescent="0.3">
      <c r="A35" s="8">
        <v>20</v>
      </c>
      <c r="B35" s="19">
        <v>-0.1</v>
      </c>
      <c r="C35" s="8" t="s">
        <v>13</v>
      </c>
    </row>
    <row r="36" spans="1:3" x14ac:dyDescent="0.3">
      <c r="A36" s="8">
        <v>21</v>
      </c>
      <c r="B36" s="19">
        <v>0</v>
      </c>
      <c r="C36" s="8" t="s">
        <v>14</v>
      </c>
    </row>
    <row r="37" spans="1:3" x14ac:dyDescent="0.3">
      <c r="A37" s="8">
        <v>22</v>
      </c>
      <c r="B37" s="19">
        <v>0</v>
      </c>
      <c r="C37" s="8" t="s">
        <v>14</v>
      </c>
    </row>
    <row r="38" spans="1:3" x14ac:dyDescent="0.3">
      <c r="A38" s="8">
        <v>23</v>
      </c>
      <c r="B38" s="19">
        <v>0</v>
      </c>
      <c r="C38" s="8" t="s">
        <v>14</v>
      </c>
    </row>
    <row r="39" spans="1:3" x14ac:dyDescent="0.3">
      <c r="A39" s="8">
        <v>24</v>
      </c>
      <c r="B39" s="19">
        <v>0</v>
      </c>
      <c r="C39" s="8" t="s">
        <v>14</v>
      </c>
    </row>
    <row r="40" spans="1:3" x14ac:dyDescent="0.3">
      <c r="A40" s="8">
        <v>25</v>
      </c>
      <c r="B40" s="19">
        <v>0</v>
      </c>
      <c r="C40" s="8" t="s">
        <v>14</v>
      </c>
    </row>
    <row r="41" spans="1:3" x14ac:dyDescent="0.3">
      <c r="A41" s="8">
        <v>26</v>
      </c>
      <c r="B41" s="19">
        <v>0</v>
      </c>
      <c r="C41" s="8" t="s">
        <v>14</v>
      </c>
    </row>
    <row r="42" spans="1:3" x14ac:dyDescent="0.3">
      <c r="A42" s="8">
        <v>27</v>
      </c>
      <c r="B42" s="19">
        <v>0</v>
      </c>
      <c r="C42" s="8" t="s">
        <v>14</v>
      </c>
    </row>
    <row r="43" spans="1:3" x14ac:dyDescent="0.3">
      <c r="A43" s="8">
        <v>28</v>
      </c>
      <c r="B43" s="19">
        <v>0</v>
      </c>
      <c r="C43" s="8" t="s">
        <v>14</v>
      </c>
    </row>
    <row r="44" spans="1:3" x14ac:dyDescent="0.3">
      <c r="A44" s="8">
        <v>29</v>
      </c>
      <c r="B44" s="19">
        <v>0</v>
      </c>
      <c r="C44" s="8" t="s">
        <v>14</v>
      </c>
    </row>
    <row r="45" spans="1:3" x14ac:dyDescent="0.3">
      <c r="A45" s="8">
        <v>30</v>
      </c>
      <c r="B45" s="19">
        <v>0</v>
      </c>
      <c r="C45" s="8" t="s">
        <v>14</v>
      </c>
    </row>
    <row r="46" spans="1:3" x14ac:dyDescent="0.3">
      <c r="A46" s="8">
        <v>31</v>
      </c>
      <c r="B46" s="19">
        <v>0.1</v>
      </c>
      <c r="C46" s="8" t="s">
        <v>15</v>
      </c>
    </row>
    <row r="47" spans="1:3" x14ac:dyDescent="0.3">
      <c r="A47" s="8">
        <v>32</v>
      </c>
      <c r="B47" s="19">
        <v>0.1</v>
      </c>
      <c r="C47" s="8" t="s">
        <v>15</v>
      </c>
    </row>
    <row r="48" spans="1:3" x14ac:dyDescent="0.3">
      <c r="A48" s="8">
        <v>33</v>
      </c>
      <c r="B48" s="19">
        <v>0.1</v>
      </c>
      <c r="C48" s="8" t="s">
        <v>15</v>
      </c>
    </row>
    <row r="49" spans="1:3" x14ac:dyDescent="0.3">
      <c r="A49" s="8">
        <v>34</v>
      </c>
      <c r="B49" s="19">
        <v>0.1</v>
      </c>
      <c r="C49" s="8" t="s">
        <v>15</v>
      </c>
    </row>
    <row r="50" spans="1:3" x14ac:dyDescent="0.3">
      <c r="A50" s="8">
        <v>35</v>
      </c>
      <c r="B50" s="19">
        <v>0.1</v>
      </c>
      <c r="C50" s="8" t="s">
        <v>15</v>
      </c>
    </row>
    <row r="51" spans="1:3" x14ac:dyDescent="0.3">
      <c r="A51" s="8">
        <v>36</v>
      </c>
      <c r="B51" s="19">
        <v>0.1</v>
      </c>
      <c r="C51" s="8" t="s">
        <v>15</v>
      </c>
    </row>
    <row r="52" spans="1:3" x14ac:dyDescent="0.3">
      <c r="A52" s="8">
        <v>37</v>
      </c>
      <c r="B52" s="19">
        <v>0.1</v>
      </c>
      <c r="C52" s="8" t="s">
        <v>15</v>
      </c>
    </row>
    <row r="53" spans="1:3" x14ac:dyDescent="0.3">
      <c r="A53" s="8">
        <v>38</v>
      </c>
      <c r="B53" s="19">
        <v>0.1</v>
      </c>
      <c r="C53" s="8" t="s">
        <v>15</v>
      </c>
    </row>
    <row r="54" spans="1:3" x14ac:dyDescent="0.3">
      <c r="A54" s="8">
        <v>39</v>
      </c>
      <c r="B54" s="19">
        <v>0.1</v>
      </c>
      <c r="C54" s="8" t="s">
        <v>15</v>
      </c>
    </row>
    <row r="55" spans="1:3" x14ac:dyDescent="0.3">
      <c r="A55" s="8">
        <v>40</v>
      </c>
      <c r="B55" s="19">
        <v>0.2</v>
      </c>
      <c r="C55" s="8" t="s">
        <v>16</v>
      </c>
    </row>
  </sheetData>
  <mergeCells count="1">
    <mergeCell ref="A1:C1"/>
  </mergeCells>
  <phoneticPr fontId="3" type="noConversion"/>
  <hyperlinks>
    <hyperlink ref="C9" r:id="rId1" xr:uid="{4DF92D45-E899-4E91-A5BE-D7B425E361D8}"/>
    <hyperlink ref="C10" r:id="rId2" location="overview" xr:uid="{2101DC2D-CE30-4BB2-BCDC-B5D234AF5ACB}"/>
  </hyperlinks>
  <pageMargins left="0.7" right="0.7" top="0.75" bottom="0.75" header="0.3" footer="0.3"/>
  <tableParts count="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C207F-9593-409C-BFF1-97D7B511CAA9}">
  <dimension ref="A1:F8"/>
  <sheetViews>
    <sheetView workbookViewId="0">
      <selection activeCell="D6" sqref="D6"/>
    </sheetView>
  </sheetViews>
  <sheetFormatPr defaultRowHeight="14.4" x14ac:dyDescent="0.3"/>
  <cols>
    <col min="1" max="1" width="22.88671875" style="4" customWidth="1"/>
    <col min="2" max="2" width="21.21875" style="4" customWidth="1"/>
    <col min="3" max="16384" width="8.88671875" style="4"/>
  </cols>
  <sheetData>
    <row r="1" spans="1:6" ht="28.8" x14ac:dyDescent="0.55000000000000004">
      <c r="A1" s="26" t="str">
        <f>'Admin Sheet'!B3</f>
        <v>ABC Company</v>
      </c>
      <c r="B1" s="26"/>
      <c r="C1" s="26"/>
      <c r="D1" s="26"/>
      <c r="E1" s="26"/>
      <c r="F1" s="26"/>
    </row>
    <row r="4" spans="1:6" x14ac:dyDescent="0.3">
      <c r="A4" s="30" t="s">
        <v>43</v>
      </c>
      <c r="B4" s="30" t="s">
        <v>30</v>
      </c>
    </row>
    <row r="5" spans="1:6" ht="43.2" x14ac:dyDescent="0.3">
      <c r="A5" s="28" t="s">
        <v>27</v>
      </c>
      <c r="B5" s="36" t="s">
        <v>31</v>
      </c>
    </row>
    <row r="6" spans="1:6" ht="86.4" x14ac:dyDescent="0.3">
      <c r="A6" s="28" t="s">
        <v>9</v>
      </c>
      <c r="B6" s="36" t="s">
        <v>40</v>
      </c>
    </row>
    <row r="7" spans="1:6" ht="28.8" x14ac:dyDescent="0.3">
      <c r="A7" s="28" t="s">
        <v>18</v>
      </c>
      <c r="B7" s="36" t="s">
        <v>41</v>
      </c>
    </row>
    <row r="8" spans="1:6" ht="28.8" x14ac:dyDescent="0.3">
      <c r="A8" s="28" t="s">
        <v>19</v>
      </c>
      <c r="B8" s="36" t="s">
        <v>42</v>
      </c>
    </row>
  </sheetData>
  <mergeCells count="1">
    <mergeCell ref="A1:F1"/>
  </mergeCell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Stock Sheet</vt:lpstr>
      <vt:lpstr>Portfolio Sheet</vt:lpstr>
      <vt:lpstr>Admin Sheet</vt:lpstr>
      <vt:lpstr>Appendix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Fatima Sulyman</dc:creator>
  <cp:lastModifiedBy>Fatima Sulyman</cp:lastModifiedBy>
  <dcterms:created xsi:type="dcterms:W3CDTF">2023-11-27T01:43:11Z</dcterms:created>
  <dcterms:modified xsi:type="dcterms:W3CDTF">2023-12-04T04:46:11Z</dcterms:modified>
</cp:coreProperties>
</file>